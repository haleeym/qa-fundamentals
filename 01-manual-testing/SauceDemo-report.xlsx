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9630"/>
  </bookViews>
  <sheets>
    <sheet name="Report Info" sheetId="1" r:id="rId1"/>
    <sheet name="Bug Report" sheetId="2" r:id="rId2"/>
    <sheet name="Summary" sheetId="3" r:id="rId3"/>
  </sheets>
  <calcPr calcId="152511"/>
  <extLst>
    <ext uri="GoogleSheetsCustomDataVersion2">
      <go:sheetsCustomData xmlns:go="http://customooxmlschemas.google.com/" r:id="rId7" roundtripDataChecksum="H4dXdYB7IzboM1iBA3XGmEJTeSFyWfUf1iD2BOHwvRg="/>
    </ext>
  </extLst>
</workbook>
</file>

<file path=xl/calcChain.xml><?xml version="1.0" encoding="utf-8"?>
<calcChain xmlns="http://schemas.openxmlformats.org/spreadsheetml/2006/main">
  <c r="B14" i="3" l="1"/>
  <c r="B13" i="3"/>
  <c r="B12" i="3"/>
  <c r="B15" i="3" s="1"/>
  <c r="B7" i="3"/>
  <c r="B6" i="3"/>
  <c r="B5" i="3"/>
  <c r="B4" i="3"/>
  <c r="B8" i="3" s="1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<sst xmlns="http://schemas.openxmlformats.org/spreadsheetml/2006/main" count="270" uniqueCount="168">
  <si>
    <t>Defect Summary</t>
  </si>
  <si>
    <t>SauceDemo Manual Test Defect Report</t>
  </si>
  <si>
    <t xml:space="preserve">SauceDemo Manual Test Defect Report </t>
  </si>
  <si>
    <t>Severity</t>
  </si>
  <si>
    <t>Field</t>
  </si>
  <si>
    <t>Unique defects</t>
  </si>
  <si>
    <t>Total Bugs</t>
  </si>
  <si>
    <t>Critical</t>
  </si>
  <si>
    <t>Value</t>
  </si>
  <si>
    <t>Note</t>
  </si>
  <si>
    <t>Application under test</t>
  </si>
  <si>
    <t>SauceDemo (Swag Labs)</t>
  </si>
  <si>
    <t>URL</t>
  </si>
  <si>
    <t>https://www.saucedemo.com</t>
  </si>
  <si>
    <t>Tester</t>
  </si>
  <si>
    <t>Haleem</t>
  </si>
  <si>
    <t>Test type</t>
  </si>
  <si>
    <t>Manual, exploratory</t>
  </si>
  <si>
    <t>Date tested</t>
  </si>
  <si>
    <t>18th April, 2026</t>
  </si>
  <si>
    <t>Browser and version</t>
  </si>
  <si>
    <t>Chrome 155.0.8059</t>
  </si>
  <si>
    <t>Operating system</t>
  </si>
  <si>
    <t>Windows</t>
  </si>
  <si>
    <t>Accounts tested</t>
  </si>
  <si>
    <t>problem_user, error_user</t>
  </si>
  <si>
    <t>Severity legend (technical impact)</t>
  </si>
  <si>
    <t>High</t>
  </si>
  <si>
    <t>Level</t>
  </si>
  <si>
    <t xml:space="preserve"> Closed Bugs</t>
  </si>
  <si>
    <t>Definition</t>
  </si>
  <si>
    <t>Example from this report</t>
  </si>
  <si>
    <t>Blocks a core flow (browse → cart → checkout) with no workaround.</t>
  </si>
  <si>
    <t>DEF-005: half the catalog cannot be added to cart</t>
  </si>
  <si>
    <t>Major feature broken or wrong data shown; workaround is difficult.</t>
  </si>
  <si>
    <t>DEF-004: sorting is broken</t>
  </si>
  <si>
    <t>Medium</t>
  </si>
  <si>
    <t>Feature partly impaired, or a workaround exists.</t>
  </si>
  <si>
    <t>DEF-009: Remove works only from the Cart page</t>
  </si>
  <si>
    <t>Low</t>
  </si>
  <si>
    <t>Cosmetic or minor; no flow is affected.</t>
  </si>
  <si>
    <t>DEF-008: Reset App State not clickable</t>
  </si>
  <si>
    <t>Priority legend (business urgency)</t>
  </si>
  <si>
    <t>Fixed Bugs</t>
  </si>
  <si>
    <t>Urgency</t>
  </si>
  <si>
    <t>Fix before release or in the next build.</t>
  </si>
  <si>
    <t>Fix in a scheduled cycle.</t>
  </si>
  <si>
    <t>Total</t>
  </si>
  <si>
    <t>In Progress</t>
  </si>
  <si>
    <t>Fix when capacity allows.</t>
  </si>
  <si>
    <t>Confirmed Working Correctly</t>
  </si>
  <si>
    <t>Priority</t>
  </si>
  <si>
    <t>Open Bugs</t>
  </si>
  <si>
    <t>Account</t>
  </si>
  <si>
    <t>Check</t>
  </si>
  <si>
    <t>Result</t>
  </si>
  <si>
    <t>problem_user</t>
  </si>
  <si>
    <t>Login successful</t>
  </si>
  <si>
    <t>Pass</t>
  </si>
  <si>
    <t>Reopened Bugs</t>
  </si>
  <si>
    <t>Cart badge decreases correctly when items removed from Cart page</t>
  </si>
  <si>
    <t>'Continue Shopping' button works correctly</t>
  </si>
  <si>
    <t>'Cancel' button on Checkout Information page works correctly</t>
  </si>
  <si>
    <t>'About' menu option opens the correct page</t>
  </si>
  <si>
    <t>'All Items' menu option returns to Inventory page</t>
  </si>
  <si>
    <t>Cart contents retained after refreshing Cart page</t>
  </si>
  <si>
    <t>Browser Back and Forward buttons work correctly after adding items</t>
  </si>
  <si>
    <t>Cart badge updates correctly for products that can be added</t>
  </si>
  <si>
    <t>Defect ID</t>
  </si>
  <si>
    <t>Items can be removed from the Cart page</t>
  </si>
  <si>
    <t>Cart can be opened with zero items</t>
  </si>
  <si>
    <t>Original IDs</t>
  </si>
  <si>
    <t>Summary</t>
  </si>
  <si>
    <t>Refresh works correctly</t>
  </si>
  <si>
    <t>Page / Area</t>
  </si>
  <si>
    <t>Affected Accounts</t>
  </si>
  <si>
    <t>Steps to Reproduce</t>
  </si>
  <si>
    <t>Logout works correctly</t>
  </si>
  <si>
    <t>Expected Result</t>
  </si>
  <si>
    <t>Actual Result</t>
  </si>
  <si>
    <t>error_user</t>
  </si>
  <si>
    <t>Product names display correctly</t>
  </si>
  <si>
    <t>Status</t>
  </si>
  <si>
    <t>Evidence</t>
  </si>
  <si>
    <t>Product prices display correctly</t>
  </si>
  <si>
    <t>Notes / To verify</t>
  </si>
  <si>
    <t>Product images on Inventory page are clickable</t>
  </si>
  <si>
    <t>DEF-001</t>
  </si>
  <si>
    <t>Cart badge updates correctly for items that can be added</t>
  </si>
  <si>
    <t>BUG-001</t>
  </si>
  <si>
    <t>All products show the same incorrect image</t>
  </si>
  <si>
    <t>Browser Back button works correctly</t>
  </si>
  <si>
    <t>Inventory</t>
  </si>
  <si>
    <t>Page refresh works correctly</t>
  </si>
  <si>
    <t>1. Open https://www.saucedemo.com
2. Log in as problem_user (password: secret_sauce)
3. Look at the product images on the Inventory page</t>
  </si>
  <si>
    <t>Each product shows its own image</t>
  </si>
  <si>
    <t>All 6 products show the same dog image</t>
  </si>
  <si>
    <t>Items can be removed successfully from the Cart page</t>
  </si>
  <si>
    <t>New/Open</t>
  </si>
  <si>
    <t>Cosmetic, but the first thing every user sees.</t>
  </si>
  <si>
    <t>DEF-002</t>
  </si>
  <si>
    <t>BUG-002</t>
  </si>
  <si>
    <t>Product detail page shows another product's information</t>
  </si>
  <si>
    <t>Product detail</t>
  </si>
  <si>
    <t>1. Open https://www.saucedemo.com
2. Log in as problem_user (password: secret_sauce)
3. Click a product name or image
4. Compare the detail page name, description and price with the product clicked</t>
  </si>
  <si>
    <t>Detail page matches the product clicked (name, description, price)</t>
  </si>
  <si>
    <t>Detail page shows a different product's information</t>
  </si>
  <si>
    <t>Record which product opened which, e.g. clicked Product 1 → opened Product ? [FILL IN]</t>
  </si>
  <si>
    <t>DEF-003</t>
  </si>
  <si>
    <t>BUG-003</t>
  </si>
  <si>
    <t>Product 4 detail page shows 'ITEM NOT FOUND' and invalid price</t>
  </si>
  <si>
    <t>1. Open https://www.saucedemo.com
2. Log in as problem_user (password: secret_sauce)
3. Click Product 4 (name: [FILL IN])
4. Observe the detail page</t>
  </si>
  <si>
    <t>Product 4's correct name, description and price load</t>
  </si>
  <si>
    <t>Page shows "ITEM NOT FOUND" and price "$√-1"</t>
  </si>
  <si>
    <t>Confirm Product 4's name so devs can find it.</t>
  </si>
  <si>
    <t>DEF-004</t>
  </si>
  <si>
    <t>BUG-004, BUG-010</t>
  </si>
  <si>
    <t>Sorting is broken for every sort option</t>
  </si>
  <si>
    <t>Inventory (sort dropdown)</t>
  </si>
  <si>
    <t>1. Open https://www.saucedemo.com
2. Log in as problem_user, then repeat as error_user (password: secret_sauce)
3. Open the sort dropdown
4. Select each option in turn (A–Z, Z–A, price low–high, price high–low)</t>
  </si>
  <si>
    <t>Products reorder by the selected criterion</t>
  </si>
  <si>
    <t>Error "Sorting is broken! This error has been reported to Backtrace." and no reordering</t>
  </si>
  <si>
    <t>Same behaviour on both accounts.</t>
  </si>
  <si>
    <t>DEF-005</t>
  </si>
  <si>
    <t>BUG-005, BUG-011</t>
  </si>
  <si>
    <t>Only 3 of 6 products can be added to cart</t>
  </si>
  <si>
    <t>1. Open https://www.saucedemo.com
2. Log in as problem_user, then repeat as error_user (password: secret_sauce)
3. Click 'Add to cart' on each of the 6 products
4. Check the cart badge and each button</t>
  </si>
  <si>
    <t>All 6 products add to cart; badge shows 6</t>
  </si>
  <si>
    <t>problem_user: only Products 1, 2, 5 add (3, 4, 6 do not).
error_user: only 3 add; the other 3 stay on 'Add to cart'</t>
  </si>
  <si>
    <t>List which 3 products fail for error_user [FILL IN]. Half the catalog can't be bought.</t>
  </si>
  <si>
    <t>DEF-006</t>
  </si>
  <si>
    <t>BUG-006, BUG-013</t>
  </si>
  <si>
    <t>Product images missing on Cart page</t>
  </si>
  <si>
    <t>Cart</t>
  </si>
  <si>
    <t>1. Open https://www.saucedemo.com
2. Log in as problem_user, then repeat as error_user (password: secret_sauce)
3. Add a product that can be added
4. Click the cart icon</t>
  </si>
  <si>
    <t>Cart shows image, name, description and price</t>
  </si>
  <si>
    <t>Product image is not displayed</t>
  </si>
  <si>
    <t>DEF-007</t>
  </si>
  <si>
    <t>BUG-007</t>
  </si>
  <si>
    <t>Checkout: Last Name field does not accept input</t>
  </si>
  <si>
    <t>Checkout: Your Information</t>
  </si>
  <si>
    <t>1. Open https://www.saucedemo.com
2. Log in as problem_user (password: secret_sauce)
3. Add a product that can be added
4. Open Cart → click Checkout
5. Click the Last Name field and type a name</t>
  </si>
  <si>
    <t>Last Name accepts input; checkout can continue</t>
  </si>
  <si>
    <t>Field does not accept input; checkout cannot be completed</t>
  </si>
  <si>
    <t>VERIFY exact behaviour: does typing land in another field (e.g. First Name) or get rejected? Describe precisely. error_user checkout not tested.</t>
  </si>
  <si>
    <t>DEF-008</t>
  </si>
  <si>
    <t>BUG-008, BUG-015</t>
  </si>
  <si>
    <t>'Reset App State' menu option is not clickable</t>
  </si>
  <si>
    <t>Burger menu</t>
  </si>
  <si>
    <t>1. Open https://www.saucedemo.com
2. Log in as problem_user, then repeat as error_user (password: secret_sauce)
3. Add an item
4. Open the burger menu
5. Click 'Reset App State'</t>
  </si>
  <si>
    <t>App state resets (cart emptied, buttons revert)</t>
  </si>
  <si>
    <t>Option does not respond to clicks</t>
  </si>
  <si>
    <t>DEF-009</t>
  </si>
  <si>
    <t>BUG-009, BUG-014</t>
  </si>
  <si>
    <t>'Remove' button does not remove the item outside the Cart page</t>
  </si>
  <si>
    <t>Product detail (problem_user); Inventory (error_user)</t>
  </si>
  <si>
    <t>1. Open https://www.saucedemo.com
2. Log in as problem_user, then repeat as error_user (password: secret_sauce)
3. Add a product that can be added
4. Click 'Remove' (detail page for problem_user, Inventory for error_user)
5. Open Cart and remove it there</t>
  </si>
  <si>
    <t>Item is removed and button reverts to 'Add to cart'</t>
  </si>
  <si>
    <t>No effect; item can only be removed from the Cart page</t>
  </si>
  <si>
    <t>Rated Medium on both accounts because a workaround exists (Cart page). Check whether each account also fails on the other page.</t>
  </si>
  <si>
    <t>DEF-010</t>
  </si>
  <si>
    <t>BUG-012</t>
  </si>
  <si>
    <t>Product description fails to render</t>
  </si>
  <si>
    <t>1. Open https://www.saucedemo.com
2. Log in as error_user (password: secret_sauce)
3. Read the product descriptions on the Inventory page</t>
  </si>
  <si>
    <t>Each product shows its own description</t>
  </si>
  <si>
    <t>Placeholder text: "A description should be here, but it failed to render! This error has been reported to Backtrace."</t>
  </si>
  <si>
    <t>List which products are affected [FILL IN].</t>
  </si>
  <si>
    <t>Fix Immediately, requiring rapid attention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</si>
</sst>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scheme val="minor"/>
    </font>
    <font>
      <b/>
      <sz val="14"/>
      <color rgb="FFFFFFFF"/>
      <name val="Arial"/>
    </font>
    <font>
      <b/>
      <sz val="14"/>
      <color rgb="FF000000"/>
      <name val="Arial"/>
    </font>
    <font>
      <sz val="11"/>
      <name val="Calibri"/>
    </font>
    <font>
      <sz val="11"/>
      <color theme="1"/>
      <name val="Calibri"/>
    </font>
    <font>
      <b/>
      <sz val="11"/>
      <color rgb="FFFFFFFF"/>
      <name val="Arial"/>
    </font>
    <font>
      <b/>
      <sz val="14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8"/>
      <color theme="1"/>
      <name val="Arial"/>
    </font>
    <font>
      <b/>
      <sz val="11"/>
      <color theme="1"/>
      <name val="Arial"/>
    </font>
    <font>
      <sz val="11"/>
      <color theme="1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B7B7B7"/>
        <bgColor rgb="FFB7B7B7"/>
      </patternFill>
    </fill>
    <fill>
      <patternFill patternType="solid">
        <fgColor rgb="FF1E5631"/>
        <bgColor rgb="FF1E5631"/>
      </patternFill>
    </fill>
    <fill>
      <patternFill patternType="solid">
        <fgColor rgb="FF3F8A56"/>
        <bgColor rgb="FF3F8A56"/>
      </patternFill>
    </fill>
    <fill>
      <patternFill patternType="solid">
        <fgColor rgb="FF6B6B6B"/>
        <bgColor rgb="FF6B6B6B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34A853"/>
        <bgColor rgb="FF34A853"/>
      </patternFill>
    </fill>
    <fill>
      <patternFill patternType="solid">
        <fgColor rgb="FFD4EDBC"/>
        <bgColor rgb="FFD4EDBC"/>
      </patternFill>
    </fill>
    <fill>
      <patternFill patternType="solid">
        <fgColor rgb="FF753800"/>
        <bgColor rgb="FF753800"/>
      </patternFill>
    </fill>
    <fill>
      <patternFill patternType="solid">
        <fgColor rgb="FFE0FF63"/>
        <bgColor rgb="FFE0FF63"/>
      </patternFill>
    </fill>
    <fill>
      <patternFill patternType="solid">
        <fgColor rgb="FFB10202"/>
        <bgColor rgb="FFB10202"/>
      </patternFill>
    </fill>
    <fill>
      <patternFill patternType="solid">
        <fgColor rgb="FFFFF2B3"/>
        <bgColor rgb="FFFFF2B3"/>
      </patternFill>
    </fill>
    <fill>
      <patternFill patternType="solid">
        <fgColor rgb="FFF9D5A7"/>
        <bgColor rgb="FFF9D5A7"/>
      </patternFill>
    </fill>
    <fill>
      <patternFill patternType="solid">
        <fgColor rgb="FFF4B6B6"/>
        <bgColor rgb="FFF4B6B6"/>
      </patternFill>
    </fill>
    <fill>
      <patternFill patternType="solid">
        <fgColor rgb="FFD9EAD3"/>
        <bgColor rgb="FFD9EAD3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4" fillId="0" borderId="7" xfId="0" applyFont="1" applyBorder="1" applyAlignment="1"/>
    <xf numFmtId="0" fontId="5" fillId="5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top" wrapText="1"/>
    </xf>
    <xf numFmtId="0" fontId="5" fillId="2" borderId="8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9" fillId="8" borderId="9" xfId="0" applyFont="1" applyFill="1" applyBorder="1" applyAlignment="1">
      <alignment horizontal="center" vertical="top" wrapText="1"/>
    </xf>
    <xf numFmtId="0" fontId="5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top" wrapText="1"/>
    </xf>
    <xf numFmtId="0" fontId="10" fillId="0" borderId="0" xfId="0" applyFont="1" applyAlignment="1"/>
    <xf numFmtId="3" fontId="9" fillId="9" borderId="10" xfId="0" applyNumberFormat="1" applyFont="1" applyFill="1" applyBorder="1" applyAlignment="1">
      <alignment horizontal="center" vertical="top" wrapText="1"/>
    </xf>
    <xf numFmtId="0" fontId="8" fillId="0" borderId="8" xfId="0" applyFont="1" applyBorder="1" applyAlignment="1">
      <alignment horizontal="left" vertical="top" wrapText="1"/>
    </xf>
    <xf numFmtId="0" fontId="9" fillId="10" borderId="10" xfId="0" applyFont="1" applyFill="1" applyBorder="1" applyAlignment="1">
      <alignment horizontal="center" vertical="top" wrapText="1"/>
    </xf>
    <xf numFmtId="0" fontId="9" fillId="11" borderId="10" xfId="0" applyFont="1" applyFill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top" wrapText="1"/>
    </xf>
    <xf numFmtId="0" fontId="9" fillId="12" borderId="10" xfId="0" applyFont="1" applyFill="1" applyBorder="1" applyAlignment="1">
      <alignment horizontal="center" vertical="top" wrapText="1"/>
    </xf>
    <xf numFmtId="0" fontId="9" fillId="13" borderId="10" xfId="0" applyFont="1" applyFill="1" applyBorder="1" applyAlignment="1">
      <alignment horizontal="center" vertical="top" wrapText="1"/>
    </xf>
    <xf numFmtId="0" fontId="5" fillId="2" borderId="11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7" fillId="14" borderId="8" xfId="0" applyFont="1" applyFill="1" applyBorder="1" applyAlignment="1">
      <alignment horizontal="center" vertical="top" wrapText="1"/>
    </xf>
    <xf numFmtId="0" fontId="7" fillId="15" borderId="8" xfId="0" applyFont="1" applyFill="1" applyBorder="1" applyAlignment="1">
      <alignment horizontal="center" vertical="top" wrapText="1"/>
    </xf>
    <xf numFmtId="0" fontId="7" fillId="16" borderId="8" xfId="0" applyFont="1" applyFill="1" applyBorder="1" applyAlignment="1">
      <alignment horizontal="center" vertical="top" wrapText="1"/>
    </xf>
    <xf numFmtId="0" fontId="7" fillId="17" borderId="8" xfId="0" applyFont="1" applyFill="1" applyBorder="1" applyAlignment="1">
      <alignment horizontal="center"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/>
    <xf numFmtId="0" fontId="2" fillId="3" borderId="2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5" xfId="0" applyFont="1" applyBorder="1"/>
    <xf numFmtId="0" fontId="1" fillId="5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6" xfId="0" applyFont="1" applyBorder="1"/>
    <xf numFmtId="0" fontId="1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98"/>
  <sheetViews>
    <sheetView showGridLines="0" tabSelected="1" topLeftCell="A11" workbookViewId="0">
      <selection activeCell="B23" sqref="B23"/>
    </sheetView>
  </sheetViews>
  <sheetFormatPr defaultColWidth="14.42578125" defaultRowHeight="15" customHeight="1" x14ac:dyDescent="0.25"/>
  <cols>
    <col min="1" max="1" width="32.7109375" customWidth="1"/>
    <col min="2" max="2" width="52" customWidth="1"/>
    <col min="3" max="3" width="40" customWidth="1"/>
    <col min="4" max="26" width="8.7109375" customWidth="1"/>
  </cols>
  <sheetData>
    <row r="1" spans="1:3" ht="25.5" customHeight="1" x14ac:dyDescent="0.25">
      <c r="A1" s="29" t="s">
        <v>1</v>
      </c>
      <c r="B1" s="30"/>
      <c r="C1" s="31"/>
    </row>
    <row r="3" spans="1:3" ht="30" customHeight="1" x14ac:dyDescent="0.25">
      <c r="A3" s="3" t="s">
        <v>4</v>
      </c>
      <c r="B3" s="6" t="s">
        <v>8</v>
      </c>
      <c r="C3" s="6" t="s">
        <v>9</v>
      </c>
    </row>
    <row r="4" spans="1:3" ht="18" customHeight="1" x14ac:dyDescent="0.25">
      <c r="A4" s="7" t="s">
        <v>10</v>
      </c>
      <c r="B4" s="5" t="s">
        <v>11</v>
      </c>
      <c r="C4" s="5"/>
    </row>
    <row r="5" spans="1:3" ht="18" customHeight="1" x14ac:dyDescent="0.25">
      <c r="A5" s="7" t="s">
        <v>12</v>
      </c>
      <c r="B5" s="5" t="s">
        <v>13</v>
      </c>
      <c r="C5" s="5"/>
    </row>
    <row r="6" spans="1:3" ht="18" customHeight="1" x14ac:dyDescent="0.25">
      <c r="A6" s="7" t="s">
        <v>14</v>
      </c>
      <c r="B6" s="8" t="s">
        <v>15</v>
      </c>
      <c r="C6" s="5"/>
    </row>
    <row r="7" spans="1:3" ht="18" customHeight="1" x14ac:dyDescent="0.25">
      <c r="A7" s="7" t="s">
        <v>16</v>
      </c>
      <c r="B7" s="5" t="s">
        <v>17</v>
      </c>
      <c r="C7" s="5"/>
    </row>
    <row r="8" spans="1:3" ht="18" customHeight="1" x14ac:dyDescent="0.25">
      <c r="A8" s="7" t="s">
        <v>18</v>
      </c>
      <c r="B8" s="8" t="s">
        <v>19</v>
      </c>
      <c r="C8" s="5"/>
    </row>
    <row r="9" spans="1:3" ht="18" customHeight="1" x14ac:dyDescent="0.25">
      <c r="A9" s="7" t="s">
        <v>20</v>
      </c>
      <c r="B9" s="8" t="s">
        <v>21</v>
      </c>
      <c r="C9" s="5"/>
    </row>
    <row r="10" spans="1:3" ht="18" customHeight="1" x14ac:dyDescent="0.25">
      <c r="A10" s="7" t="s">
        <v>22</v>
      </c>
      <c r="B10" s="8" t="s">
        <v>23</v>
      </c>
      <c r="C10" s="5"/>
    </row>
    <row r="11" spans="1:3" ht="30.75" customHeight="1" x14ac:dyDescent="0.25">
      <c r="A11" s="7" t="s">
        <v>24</v>
      </c>
      <c r="B11" s="5" t="s">
        <v>25</v>
      </c>
      <c r="C11" s="5"/>
    </row>
    <row r="13" spans="1:3" x14ac:dyDescent="0.25">
      <c r="A13" s="12" t="s">
        <v>26</v>
      </c>
    </row>
    <row r="14" spans="1:3" ht="30" customHeight="1" x14ac:dyDescent="0.25">
      <c r="A14" s="6" t="s">
        <v>28</v>
      </c>
      <c r="B14" s="6" t="s">
        <v>30</v>
      </c>
      <c r="C14" s="6" t="s">
        <v>31</v>
      </c>
    </row>
    <row r="15" spans="1:3" ht="30.75" customHeight="1" x14ac:dyDescent="0.25">
      <c r="A15" s="7" t="s">
        <v>7</v>
      </c>
      <c r="B15" s="5" t="s">
        <v>32</v>
      </c>
      <c r="C15" s="5" t="s">
        <v>33</v>
      </c>
    </row>
    <row r="16" spans="1:3" ht="30.75" customHeight="1" x14ac:dyDescent="0.25">
      <c r="A16" s="7" t="s">
        <v>27</v>
      </c>
      <c r="B16" s="5" t="s">
        <v>34</v>
      </c>
      <c r="C16" s="5" t="s">
        <v>35</v>
      </c>
    </row>
    <row r="17" spans="1:3" ht="30.75" customHeight="1" x14ac:dyDescent="0.25">
      <c r="A17" s="7" t="s">
        <v>36</v>
      </c>
      <c r="B17" s="5" t="s">
        <v>37</v>
      </c>
      <c r="C17" s="5" t="s">
        <v>38</v>
      </c>
    </row>
    <row r="18" spans="1:3" ht="18" customHeight="1" x14ac:dyDescent="0.25">
      <c r="A18" s="7" t="s">
        <v>39</v>
      </c>
      <c r="B18" s="5" t="s">
        <v>40</v>
      </c>
      <c r="C18" s="5" t="s">
        <v>41</v>
      </c>
    </row>
    <row r="20" spans="1:3" ht="15.75" customHeight="1" x14ac:dyDescent="0.25">
      <c r="A20" s="12" t="s">
        <v>42</v>
      </c>
    </row>
    <row r="21" spans="1:3" ht="30" customHeight="1" x14ac:dyDescent="0.25">
      <c r="A21" s="6" t="s">
        <v>28</v>
      </c>
      <c r="B21" s="6" t="s">
        <v>30</v>
      </c>
      <c r="C21" s="6"/>
    </row>
    <row r="22" spans="1:3" ht="18" customHeight="1" x14ac:dyDescent="0.25">
      <c r="A22" s="14" t="s">
        <v>44</v>
      </c>
      <c r="B22" s="5" t="s">
        <v>167</v>
      </c>
      <c r="C22" s="5"/>
    </row>
    <row r="23" spans="1:3" ht="18" customHeight="1" x14ac:dyDescent="0.25">
      <c r="A23" s="7" t="s">
        <v>27</v>
      </c>
      <c r="B23" s="5" t="s">
        <v>45</v>
      </c>
      <c r="C23" s="5"/>
    </row>
    <row r="24" spans="1:3" ht="18" customHeight="1" x14ac:dyDescent="0.25">
      <c r="A24" s="7" t="s">
        <v>36</v>
      </c>
      <c r="B24" s="5" t="s">
        <v>46</v>
      </c>
      <c r="C24" s="5"/>
    </row>
    <row r="25" spans="1:3" ht="18" customHeight="1" x14ac:dyDescent="0.25">
      <c r="A25" s="7" t="s">
        <v>39</v>
      </c>
      <c r="B25" s="5" t="s">
        <v>49</v>
      </c>
      <c r="C25" s="5"/>
    </row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>
      <c r="A29" s="32" t="s">
        <v>50</v>
      </c>
      <c r="B29" s="30"/>
      <c r="C29" s="31"/>
    </row>
    <row r="30" spans="1:3" ht="15.75" customHeight="1" x14ac:dyDescent="0.25"/>
    <row r="31" spans="1:3" ht="15.75" customHeight="1" x14ac:dyDescent="0.25">
      <c r="A31" s="2" t="s">
        <v>53</v>
      </c>
      <c r="B31" s="2" t="s">
        <v>54</v>
      </c>
      <c r="C31" s="2" t="s">
        <v>55</v>
      </c>
    </row>
    <row r="32" spans="1:3" ht="15.75" customHeight="1" x14ac:dyDescent="0.25">
      <c r="A32" s="5" t="s">
        <v>56</v>
      </c>
      <c r="B32" s="5" t="s">
        <v>57</v>
      </c>
      <c r="C32" s="11" t="s">
        <v>58</v>
      </c>
    </row>
    <row r="33" spans="1:3" ht="15.75" customHeight="1" x14ac:dyDescent="0.25">
      <c r="A33" s="5" t="s">
        <v>56</v>
      </c>
      <c r="B33" s="5" t="s">
        <v>60</v>
      </c>
      <c r="C33" s="11" t="s">
        <v>58</v>
      </c>
    </row>
    <row r="34" spans="1:3" ht="15.75" customHeight="1" x14ac:dyDescent="0.25">
      <c r="A34" s="5" t="s">
        <v>56</v>
      </c>
      <c r="B34" s="5" t="s">
        <v>61</v>
      </c>
      <c r="C34" s="11" t="s">
        <v>58</v>
      </c>
    </row>
    <row r="35" spans="1:3" ht="15.75" customHeight="1" x14ac:dyDescent="0.25">
      <c r="A35" s="5" t="s">
        <v>56</v>
      </c>
      <c r="B35" s="5" t="s">
        <v>62</v>
      </c>
      <c r="C35" s="11" t="s">
        <v>58</v>
      </c>
    </row>
    <row r="36" spans="1:3" ht="15.75" customHeight="1" x14ac:dyDescent="0.25">
      <c r="A36" s="5" t="s">
        <v>56</v>
      </c>
      <c r="B36" s="5" t="s">
        <v>63</v>
      </c>
      <c r="C36" s="11" t="s">
        <v>58</v>
      </c>
    </row>
    <row r="37" spans="1:3" ht="15.75" customHeight="1" x14ac:dyDescent="0.25">
      <c r="A37" s="5" t="s">
        <v>56</v>
      </c>
      <c r="B37" s="5" t="s">
        <v>64</v>
      </c>
      <c r="C37" s="11" t="s">
        <v>58</v>
      </c>
    </row>
    <row r="38" spans="1:3" ht="15.75" customHeight="1" x14ac:dyDescent="0.25">
      <c r="A38" s="5" t="s">
        <v>56</v>
      </c>
      <c r="B38" s="5" t="s">
        <v>65</v>
      </c>
      <c r="C38" s="11" t="s">
        <v>58</v>
      </c>
    </row>
    <row r="39" spans="1:3" ht="15.75" customHeight="1" x14ac:dyDescent="0.25">
      <c r="A39" s="5" t="s">
        <v>56</v>
      </c>
      <c r="B39" s="5" t="s">
        <v>66</v>
      </c>
      <c r="C39" s="11" t="s">
        <v>58</v>
      </c>
    </row>
    <row r="40" spans="1:3" ht="15.75" customHeight="1" x14ac:dyDescent="0.25">
      <c r="A40" s="5" t="s">
        <v>56</v>
      </c>
      <c r="B40" s="5" t="s">
        <v>67</v>
      </c>
      <c r="C40" s="11" t="s">
        <v>58</v>
      </c>
    </row>
    <row r="41" spans="1:3" ht="15.75" customHeight="1" x14ac:dyDescent="0.25">
      <c r="A41" s="5" t="s">
        <v>56</v>
      </c>
      <c r="B41" s="5" t="s">
        <v>69</v>
      </c>
      <c r="C41" s="11" t="s">
        <v>58</v>
      </c>
    </row>
    <row r="42" spans="1:3" ht="15.75" customHeight="1" x14ac:dyDescent="0.25">
      <c r="A42" s="5" t="s">
        <v>56</v>
      </c>
      <c r="B42" s="5" t="s">
        <v>70</v>
      </c>
      <c r="C42" s="11" t="s">
        <v>58</v>
      </c>
    </row>
    <row r="43" spans="1:3" ht="15.75" customHeight="1" x14ac:dyDescent="0.25">
      <c r="A43" s="5" t="s">
        <v>56</v>
      </c>
      <c r="B43" s="5" t="s">
        <v>73</v>
      </c>
      <c r="C43" s="11" t="s">
        <v>58</v>
      </c>
    </row>
    <row r="44" spans="1:3" ht="15.75" customHeight="1" x14ac:dyDescent="0.25">
      <c r="A44" s="5" t="s">
        <v>56</v>
      </c>
      <c r="B44" s="5" t="s">
        <v>77</v>
      </c>
      <c r="C44" s="11" t="s">
        <v>58</v>
      </c>
    </row>
    <row r="45" spans="1:3" ht="15.75" customHeight="1" x14ac:dyDescent="0.25">
      <c r="A45" s="5" t="s">
        <v>80</v>
      </c>
      <c r="B45" s="5" t="s">
        <v>81</v>
      </c>
      <c r="C45" s="11" t="s">
        <v>58</v>
      </c>
    </row>
    <row r="46" spans="1:3" ht="15.75" customHeight="1" x14ac:dyDescent="0.25">
      <c r="A46" s="5" t="s">
        <v>80</v>
      </c>
      <c r="B46" s="5" t="s">
        <v>84</v>
      </c>
      <c r="C46" s="11" t="s">
        <v>58</v>
      </c>
    </row>
    <row r="47" spans="1:3" ht="15.75" customHeight="1" x14ac:dyDescent="0.25">
      <c r="A47" s="5" t="s">
        <v>80</v>
      </c>
      <c r="B47" s="5" t="s">
        <v>86</v>
      </c>
      <c r="C47" s="11" t="s">
        <v>58</v>
      </c>
    </row>
    <row r="48" spans="1:3" ht="15.75" customHeight="1" x14ac:dyDescent="0.25">
      <c r="A48" s="5" t="s">
        <v>80</v>
      </c>
      <c r="B48" s="5" t="s">
        <v>88</v>
      </c>
      <c r="C48" s="11" t="s">
        <v>58</v>
      </c>
    </row>
    <row r="49" spans="1:3" ht="15.75" customHeight="1" x14ac:dyDescent="0.25">
      <c r="A49" s="5" t="s">
        <v>80</v>
      </c>
      <c r="B49" s="5" t="s">
        <v>77</v>
      </c>
      <c r="C49" s="11" t="s">
        <v>58</v>
      </c>
    </row>
    <row r="50" spans="1:3" ht="15.75" customHeight="1" x14ac:dyDescent="0.25">
      <c r="A50" s="5" t="s">
        <v>80</v>
      </c>
      <c r="B50" s="5" t="s">
        <v>91</v>
      </c>
      <c r="C50" s="11" t="s">
        <v>58</v>
      </c>
    </row>
    <row r="51" spans="1:3" ht="15.75" customHeight="1" x14ac:dyDescent="0.25">
      <c r="A51" s="5" t="s">
        <v>80</v>
      </c>
      <c r="B51" s="5" t="s">
        <v>93</v>
      </c>
      <c r="C51" s="11" t="s">
        <v>58</v>
      </c>
    </row>
    <row r="52" spans="1:3" ht="15.75" customHeight="1" x14ac:dyDescent="0.25">
      <c r="A52" s="5" t="s">
        <v>80</v>
      </c>
      <c r="B52" s="5" t="s">
        <v>70</v>
      </c>
      <c r="C52" s="11" t="s">
        <v>58</v>
      </c>
    </row>
    <row r="53" spans="1:3" ht="15.75" customHeight="1" x14ac:dyDescent="0.25">
      <c r="A53" s="5" t="s">
        <v>80</v>
      </c>
      <c r="B53" s="5" t="s">
        <v>97</v>
      </c>
      <c r="C53" s="11" t="s">
        <v>58</v>
      </c>
    </row>
    <row r="54" spans="1:3" ht="15.75" customHeight="1" x14ac:dyDescent="0.25"/>
    <row r="55" spans="1:3" ht="15.75" customHeight="1" x14ac:dyDescent="0.25"/>
    <row r="56" spans="1:3" ht="15.75" customHeight="1" x14ac:dyDescent="0.25"/>
    <row r="57" spans="1:3" ht="15.75" customHeight="1" x14ac:dyDescent="0.25"/>
    <row r="58" spans="1:3" ht="15.75" customHeight="1" x14ac:dyDescent="0.25"/>
    <row r="59" spans="1:3" ht="15.75" customHeight="1" x14ac:dyDescent="0.25"/>
    <row r="60" spans="1:3" ht="15.75" customHeight="1" x14ac:dyDescent="0.25"/>
    <row r="61" spans="1:3" ht="15.75" customHeight="1" x14ac:dyDescent="0.25"/>
    <row r="62" spans="1:3" ht="15.75" customHeight="1" x14ac:dyDescent="0.25"/>
    <row r="63" spans="1:3" ht="15.75" customHeight="1" x14ac:dyDescent="0.25"/>
    <row r="64" spans="1: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2">
    <mergeCell ref="A1:C1"/>
    <mergeCell ref="A29:C29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4"/>
  <sheetViews>
    <sheetView showGridLines="0" workbookViewId="0">
      <pane ySplit="9" topLeftCell="A10" activePane="bottomLeft" state="frozen"/>
      <selection pane="bottomLeft" activeCell="B11" sqref="B11"/>
    </sheetView>
  </sheetViews>
  <sheetFormatPr defaultColWidth="14.42578125" defaultRowHeight="15" customHeight="1" x14ac:dyDescent="0.25"/>
  <cols>
    <col min="1" max="1" width="24.7109375" customWidth="1"/>
    <col min="2" max="2" width="27" customWidth="1"/>
    <col min="3" max="3" width="30" customWidth="1"/>
    <col min="4" max="4" width="17.5703125" customWidth="1"/>
    <col min="5" max="5" width="17" customWidth="1"/>
    <col min="6" max="6" width="44" customWidth="1"/>
    <col min="7" max="7" width="30" customWidth="1"/>
    <col min="8" max="8" width="34" customWidth="1"/>
    <col min="9" max="9" width="15.7109375" customWidth="1"/>
    <col min="10" max="10" width="13.5703125" customWidth="1"/>
    <col min="11" max="11" width="13.85546875" customWidth="1"/>
    <col min="12" max="12" width="18" customWidth="1"/>
    <col min="13" max="13" width="34" customWidth="1"/>
    <col min="14" max="25" width="8.7109375" customWidth="1"/>
  </cols>
  <sheetData>
    <row r="1" spans="1:25" ht="25.5" customHeight="1" x14ac:dyDescent="0.25">
      <c r="A1" s="33" t="s">
        <v>2</v>
      </c>
      <c r="B1" s="34"/>
      <c r="C1" s="34"/>
      <c r="D1" s="34"/>
      <c r="E1" s="35"/>
      <c r="F1" s="1"/>
      <c r="G1" s="1"/>
      <c r="H1" s="1"/>
      <c r="I1" s="1"/>
      <c r="J1" s="1"/>
      <c r="K1" s="1"/>
      <c r="L1" s="1"/>
      <c r="M1" s="1"/>
    </row>
    <row r="2" spans="1:25" ht="30" customHeight="1" x14ac:dyDescent="0.25">
      <c r="A2" s="4" t="s">
        <v>6</v>
      </c>
      <c r="B2" s="9">
        <f>COUNTA(A10:A998)</f>
        <v>10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30" customHeight="1" x14ac:dyDescent="0.25">
      <c r="A3" s="4" t="s">
        <v>29</v>
      </c>
      <c r="B3" s="13">
        <f>COUNTIF(K10:K998,"Closed")</f>
        <v>0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30" customHeight="1" x14ac:dyDescent="0.25">
      <c r="A4" s="4" t="s">
        <v>43</v>
      </c>
      <c r="B4" s="15">
        <f>COUNTIF(K9:K998,"Fixed")</f>
        <v>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30" customHeight="1" x14ac:dyDescent="0.25">
      <c r="A5" s="4" t="s">
        <v>48</v>
      </c>
      <c r="B5" s="16">
        <f>COUNTIF(H9:H998,"In Progress")</f>
        <v>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ht="30" customHeight="1" x14ac:dyDescent="0.25">
      <c r="A6" s="4" t="s">
        <v>52</v>
      </c>
      <c r="B6" s="19">
        <f>COUNTIF(K9:K998,"New/Open")</f>
        <v>10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ht="30" customHeight="1" x14ac:dyDescent="0.25">
      <c r="A7" s="4" t="s">
        <v>59</v>
      </c>
      <c r="B7" s="20">
        <f>COUNTIF(K9:K999,"Re-opened")</f>
        <v>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0" customHeight="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ht="30" customHeight="1" x14ac:dyDescent="0.25">
      <c r="A9" s="21" t="s">
        <v>68</v>
      </c>
      <c r="B9" s="21" t="s">
        <v>71</v>
      </c>
      <c r="C9" s="21" t="s">
        <v>72</v>
      </c>
      <c r="D9" s="21" t="s">
        <v>74</v>
      </c>
      <c r="E9" s="21" t="s">
        <v>75</v>
      </c>
      <c r="F9" s="21" t="s">
        <v>76</v>
      </c>
      <c r="G9" s="21" t="s">
        <v>78</v>
      </c>
      <c r="H9" s="21" t="s">
        <v>79</v>
      </c>
      <c r="I9" s="21" t="s">
        <v>3</v>
      </c>
      <c r="J9" s="21" t="s">
        <v>51</v>
      </c>
      <c r="K9" s="21" t="s">
        <v>82</v>
      </c>
      <c r="L9" s="21" t="s">
        <v>83</v>
      </c>
      <c r="M9" s="21" t="s">
        <v>85</v>
      </c>
    </row>
    <row r="10" spans="1:25" ht="71.25" customHeight="1" x14ac:dyDescent="0.25">
      <c r="A10" s="22" t="s">
        <v>87</v>
      </c>
      <c r="B10" s="5" t="s">
        <v>89</v>
      </c>
      <c r="C10" s="5" t="s">
        <v>90</v>
      </c>
      <c r="D10" s="5" t="s">
        <v>92</v>
      </c>
      <c r="E10" s="5" t="s">
        <v>56</v>
      </c>
      <c r="F10" s="5" t="s">
        <v>94</v>
      </c>
      <c r="G10" s="5" t="s">
        <v>95</v>
      </c>
      <c r="H10" s="5" t="s">
        <v>96</v>
      </c>
      <c r="I10" s="23" t="s">
        <v>36</v>
      </c>
      <c r="J10" s="11" t="s">
        <v>27</v>
      </c>
      <c r="K10" s="18" t="s">
        <v>98</v>
      </c>
      <c r="L10" s="5"/>
      <c r="M10" s="5" t="s">
        <v>99</v>
      </c>
    </row>
    <row r="11" spans="1:25" ht="84.75" customHeight="1" x14ac:dyDescent="0.25">
      <c r="A11" s="22" t="s">
        <v>100</v>
      </c>
      <c r="B11" s="5" t="s">
        <v>101</v>
      </c>
      <c r="C11" s="5" t="s">
        <v>102</v>
      </c>
      <c r="D11" s="5" t="s">
        <v>103</v>
      </c>
      <c r="E11" s="5" t="s">
        <v>56</v>
      </c>
      <c r="F11" s="5" t="s">
        <v>104</v>
      </c>
      <c r="G11" s="5" t="s">
        <v>105</v>
      </c>
      <c r="H11" s="5" t="s">
        <v>106</v>
      </c>
      <c r="I11" s="24" t="s">
        <v>27</v>
      </c>
      <c r="J11" s="11" t="s">
        <v>27</v>
      </c>
      <c r="K11" s="18" t="s">
        <v>98</v>
      </c>
      <c r="L11" s="5"/>
      <c r="M11" s="5" t="s">
        <v>107</v>
      </c>
    </row>
    <row r="12" spans="1:25" ht="71.25" customHeight="1" x14ac:dyDescent="0.25">
      <c r="A12" s="22" t="s">
        <v>108</v>
      </c>
      <c r="B12" s="5" t="s">
        <v>109</v>
      </c>
      <c r="C12" s="5" t="s">
        <v>110</v>
      </c>
      <c r="D12" s="5" t="s">
        <v>103</v>
      </c>
      <c r="E12" s="5" t="s">
        <v>56</v>
      </c>
      <c r="F12" s="5" t="s">
        <v>111</v>
      </c>
      <c r="G12" s="5" t="s">
        <v>112</v>
      </c>
      <c r="H12" s="5" t="s">
        <v>113</v>
      </c>
      <c r="I12" s="24" t="s">
        <v>27</v>
      </c>
      <c r="J12" s="11" t="s">
        <v>27</v>
      </c>
      <c r="K12" s="18" t="s">
        <v>98</v>
      </c>
      <c r="L12" s="5"/>
      <c r="M12" s="5" t="s">
        <v>114</v>
      </c>
    </row>
    <row r="13" spans="1:25" ht="84.75" customHeight="1" x14ac:dyDescent="0.25">
      <c r="A13" s="22" t="s">
        <v>115</v>
      </c>
      <c r="B13" s="5" t="s">
        <v>116</v>
      </c>
      <c r="C13" s="5" t="s">
        <v>117</v>
      </c>
      <c r="D13" s="5" t="s">
        <v>118</v>
      </c>
      <c r="E13" s="5" t="s">
        <v>25</v>
      </c>
      <c r="F13" s="5" t="s">
        <v>119</v>
      </c>
      <c r="G13" s="5" t="s">
        <v>120</v>
      </c>
      <c r="H13" s="5" t="s">
        <v>121</v>
      </c>
      <c r="I13" s="24" t="s">
        <v>27</v>
      </c>
      <c r="J13" s="11" t="s">
        <v>36</v>
      </c>
      <c r="K13" s="18" t="s">
        <v>98</v>
      </c>
      <c r="L13" s="5"/>
      <c r="M13" s="5" t="s">
        <v>122</v>
      </c>
    </row>
    <row r="14" spans="1:25" ht="71.25" customHeight="1" x14ac:dyDescent="0.25">
      <c r="A14" s="22" t="s">
        <v>123</v>
      </c>
      <c r="B14" s="5" t="s">
        <v>124</v>
      </c>
      <c r="C14" s="5" t="s">
        <v>125</v>
      </c>
      <c r="D14" s="5" t="s">
        <v>92</v>
      </c>
      <c r="E14" s="5" t="s">
        <v>25</v>
      </c>
      <c r="F14" s="5" t="s">
        <v>126</v>
      </c>
      <c r="G14" s="5" t="s">
        <v>127</v>
      </c>
      <c r="H14" s="5" t="s">
        <v>128</v>
      </c>
      <c r="I14" s="25" t="s">
        <v>7</v>
      </c>
      <c r="J14" s="11" t="s">
        <v>27</v>
      </c>
      <c r="K14" s="18" t="s">
        <v>98</v>
      </c>
      <c r="L14" s="5"/>
      <c r="M14" s="5" t="s">
        <v>129</v>
      </c>
    </row>
    <row r="15" spans="1:25" ht="71.25" customHeight="1" x14ac:dyDescent="0.25">
      <c r="A15" s="22" t="s">
        <v>130</v>
      </c>
      <c r="B15" s="5" t="s">
        <v>131</v>
      </c>
      <c r="C15" s="5" t="s">
        <v>132</v>
      </c>
      <c r="D15" s="5" t="s">
        <v>133</v>
      </c>
      <c r="E15" s="5" t="s">
        <v>25</v>
      </c>
      <c r="F15" s="5" t="s">
        <v>134</v>
      </c>
      <c r="G15" s="5" t="s">
        <v>135</v>
      </c>
      <c r="H15" s="5" t="s">
        <v>136</v>
      </c>
      <c r="I15" s="23" t="s">
        <v>36</v>
      </c>
      <c r="J15" s="11" t="s">
        <v>39</v>
      </c>
      <c r="K15" s="18" t="s">
        <v>98</v>
      </c>
      <c r="L15" s="5"/>
      <c r="M15" s="5"/>
    </row>
    <row r="16" spans="1:25" ht="84.75" customHeight="1" x14ac:dyDescent="0.25">
      <c r="A16" s="22" t="s">
        <v>137</v>
      </c>
      <c r="B16" s="5" t="s">
        <v>138</v>
      </c>
      <c r="C16" s="5" t="s">
        <v>139</v>
      </c>
      <c r="D16" s="5" t="s">
        <v>140</v>
      </c>
      <c r="E16" s="5" t="s">
        <v>56</v>
      </c>
      <c r="F16" s="5" t="s">
        <v>141</v>
      </c>
      <c r="G16" s="5" t="s">
        <v>142</v>
      </c>
      <c r="H16" s="5" t="s">
        <v>143</v>
      </c>
      <c r="I16" s="25" t="s">
        <v>7</v>
      </c>
      <c r="J16" s="11" t="s">
        <v>27</v>
      </c>
      <c r="K16" s="18" t="s">
        <v>98</v>
      </c>
      <c r="L16" s="5"/>
      <c r="M16" s="5" t="s">
        <v>144</v>
      </c>
    </row>
    <row r="17" spans="1:13" ht="84.75" customHeight="1" x14ac:dyDescent="0.25">
      <c r="A17" s="22" t="s">
        <v>145</v>
      </c>
      <c r="B17" s="5" t="s">
        <v>146</v>
      </c>
      <c r="C17" s="5" t="s">
        <v>147</v>
      </c>
      <c r="D17" s="5" t="s">
        <v>148</v>
      </c>
      <c r="E17" s="5" t="s">
        <v>25</v>
      </c>
      <c r="F17" s="5" t="s">
        <v>149</v>
      </c>
      <c r="G17" s="5" t="s">
        <v>150</v>
      </c>
      <c r="H17" s="5" t="s">
        <v>151</v>
      </c>
      <c r="I17" s="26" t="s">
        <v>39</v>
      </c>
      <c r="J17" s="11" t="s">
        <v>39</v>
      </c>
      <c r="K17" s="18" t="s">
        <v>98</v>
      </c>
      <c r="L17" s="5"/>
      <c r="M17" s="5"/>
    </row>
    <row r="18" spans="1:13" ht="98.25" customHeight="1" x14ac:dyDescent="0.25">
      <c r="A18" s="22" t="s">
        <v>152</v>
      </c>
      <c r="B18" s="5" t="s">
        <v>153</v>
      </c>
      <c r="C18" s="5" t="s">
        <v>154</v>
      </c>
      <c r="D18" s="5" t="s">
        <v>155</v>
      </c>
      <c r="E18" s="5" t="s">
        <v>25</v>
      </c>
      <c r="F18" s="5" t="s">
        <v>156</v>
      </c>
      <c r="G18" s="5" t="s">
        <v>157</v>
      </c>
      <c r="H18" s="5" t="s">
        <v>158</v>
      </c>
      <c r="I18" s="23" t="s">
        <v>36</v>
      </c>
      <c r="J18" s="11" t="s">
        <v>36</v>
      </c>
      <c r="K18" s="18" t="s">
        <v>98</v>
      </c>
      <c r="L18" s="5"/>
      <c r="M18" s="5" t="s">
        <v>159</v>
      </c>
    </row>
    <row r="19" spans="1:13" ht="57.75" customHeight="1" x14ac:dyDescent="0.25">
      <c r="A19" s="22" t="s">
        <v>160</v>
      </c>
      <c r="B19" s="5" t="s">
        <v>161</v>
      </c>
      <c r="C19" s="5" t="s">
        <v>162</v>
      </c>
      <c r="D19" s="5" t="s">
        <v>92</v>
      </c>
      <c r="E19" s="5" t="s">
        <v>80</v>
      </c>
      <c r="F19" s="5" t="s">
        <v>163</v>
      </c>
      <c r="G19" s="5" t="s">
        <v>164</v>
      </c>
      <c r="H19" s="5" t="s">
        <v>165</v>
      </c>
      <c r="I19" s="23" t="s">
        <v>36</v>
      </c>
      <c r="J19" s="11" t="s">
        <v>36</v>
      </c>
      <c r="K19" s="18" t="s">
        <v>98</v>
      </c>
      <c r="L19" s="5"/>
      <c r="M19" s="5" t="s">
        <v>166</v>
      </c>
    </row>
    <row r="20" spans="1:13" x14ac:dyDescent="0.25">
      <c r="A20" s="27"/>
      <c r="I20" s="28"/>
      <c r="J20" s="28"/>
      <c r="K20" s="28"/>
    </row>
    <row r="21" spans="1:13" x14ac:dyDescent="0.25">
      <c r="A21" s="27"/>
      <c r="I21" s="28"/>
      <c r="J21" s="28"/>
      <c r="K21" s="28"/>
    </row>
    <row r="22" spans="1:13" x14ac:dyDescent="0.25">
      <c r="A22" s="27"/>
      <c r="I22" s="28"/>
      <c r="J22" s="28"/>
      <c r="K22" s="28"/>
    </row>
    <row r="23" spans="1:13" x14ac:dyDescent="0.25">
      <c r="A23" s="27"/>
      <c r="I23" s="28"/>
      <c r="J23" s="28"/>
      <c r="K23" s="28"/>
    </row>
    <row r="24" spans="1:13" x14ac:dyDescent="0.25">
      <c r="A24" s="27"/>
      <c r="I24" s="28"/>
      <c r="J24" s="28"/>
      <c r="K24" s="28"/>
    </row>
    <row r="25" spans="1:13" ht="15.75" customHeight="1" x14ac:dyDescent="0.25">
      <c r="A25" s="27"/>
      <c r="I25" s="28"/>
      <c r="J25" s="28"/>
      <c r="K25" s="28"/>
    </row>
    <row r="26" spans="1:13" ht="15.75" customHeight="1" x14ac:dyDescent="0.25">
      <c r="A26" s="27"/>
      <c r="I26" s="28"/>
      <c r="J26" s="28"/>
      <c r="K26" s="28"/>
    </row>
    <row r="27" spans="1:13" ht="15.75" customHeight="1" x14ac:dyDescent="0.25">
      <c r="A27" s="27"/>
      <c r="I27" s="28"/>
      <c r="J27" s="28"/>
      <c r="K27" s="28"/>
    </row>
    <row r="28" spans="1:13" ht="15.75" customHeight="1" x14ac:dyDescent="0.25">
      <c r="A28" s="27"/>
      <c r="I28" s="28"/>
      <c r="J28" s="28"/>
      <c r="K28" s="28"/>
    </row>
    <row r="29" spans="1:13" ht="15.75" customHeight="1" x14ac:dyDescent="0.25">
      <c r="A29" s="27"/>
      <c r="I29" s="28"/>
      <c r="J29" s="28"/>
      <c r="K29" s="28"/>
    </row>
    <row r="30" spans="1:13" ht="15.75" customHeight="1" x14ac:dyDescent="0.25">
      <c r="A30" s="27"/>
      <c r="I30" s="28"/>
      <c r="J30" s="28"/>
      <c r="K30" s="28"/>
    </row>
    <row r="31" spans="1:13" ht="15.75" customHeight="1" x14ac:dyDescent="0.25">
      <c r="A31" s="27"/>
      <c r="I31" s="28"/>
      <c r="J31" s="28"/>
      <c r="K31" s="28"/>
    </row>
    <row r="32" spans="1:13" ht="15.75" customHeight="1" x14ac:dyDescent="0.25">
      <c r="A32" s="27"/>
      <c r="I32" s="28"/>
      <c r="J32" s="28"/>
      <c r="K32" s="28"/>
    </row>
    <row r="33" spans="1:11" ht="15.75" customHeight="1" x14ac:dyDescent="0.25">
      <c r="A33" s="27"/>
      <c r="I33" s="28"/>
      <c r="J33" s="28"/>
      <c r="K33" s="28"/>
    </row>
    <row r="34" spans="1:11" ht="15.75" customHeight="1" x14ac:dyDescent="0.25">
      <c r="A34" s="27"/>
      <c r="I34" s="28"/>
      <c r="J34" s="28"/>
      <c r="K34" s="28"/>
    </row>
    <row r="35" spans="1:11" ht="15.75" customHeight="1" x14ac:dyDescent="0.25">
      <c r="A35" s="27"/>
      <c r="I35" s="28"/>
      <c r="J35" s="28"/>
      <c r="K35" s="28"/>
    </row>
    <row r="36" spans="1:11" ht="15.75" customHeight="1" x14ac:dyDescent="0.25">
      <c r="A36" s="27"/>
      <c r="I36" s="28"/>
      <c r="J36" s="28"/>
      <c r="K36" s="28"/>
    </row>
    <row r="37" spans="1:11" ht="15.75" customHeight="1" x14ac:dyDescent="0.25">
      <c r="A37" s="27"/>
      <c r="I37" s="28"/>
      <c r="J37" s="28"/>
      <c r="K37" s="28"/>
    </row>
    <row r="38" spans="1:11" ht="15.75" customHeight="1" x14ac:dyDescent="0.25">
      <c r="A38" s="27"/>
      <c r="I38" s="28"/>
      <c r="J38" s="28"/>
      <c r="K38" s="28"/>
    </row>
    <row r="39" spans="1:11" ht="15.75" customHeight="1" x14ac:dyDescent="0.25">
      <c r="A39" s="27"/>
    </row>
    <row r="40" spans="1:11" ht="15.75" customHeight="1" x14ac:dyDescent="0.25">
      <c r="A40" s="27"/>
    </row>
    <row r="41" spans="1:11" ht="15.75" customHeight="1" x14ac:dyDescent="0.25">
      <c r="A41" s="27"/>
    </row>
    <row r="42" spans="1:11" ht="15.75" customHeight="1" x14ac:dyDescent="0.25">
      <c r="A42" s="27"/>
    </row>
    <row r="43" spans="1:11" ht="15.75" customHeight="1" x14ac:dyDescent="0.25">
      <c r="A43" s="27"/>
    </row>
    <row r="44" spans="1:11" ht="15.75" customHeight="1" x14ac:dyDescent="0.25">
      <c r="A44" s="27"/>
    </row>
    <row r="45" spans="1:11" ht="15.75" customHeight="1" x14ac:dyDescent="0.25">
      <c r="A45" s="27"/>
    </row>
    <row r="46" spans="1:11" ht="15.75" customHeight="1" x14ac:dyDescent="0.25">
      <c r="A46" s="27"/>
    </row>
    <row r="47" spans="1:11" ht="15.75" customHeight="1" x14ac:dyDescent="0.25">
      <c r="A47" s="27"/>
    </row>
    <row r="48" spans="1:1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  <row r="1001" spans="1:1" ht="15.75" customHeight="1" x14ac:dyDescent="0.25">
      <c r="A1001" s="27"/>
    </row>
    <row r="1002" spans="1:1" ht="15.75" customHeight="1" x14ac:dyDescent="0.25">
      <c r="A1002" s="27"/>
    </row>
    <row r="1003" spans="1:1" ht="15.75" customHeight="1" x14ac:dyDescent="0.25">
      <c r="A1003" s="27"/>
    </row>
    <row r="1004" spans="1:1" ht="15.75" customHeight="1" x14ac:dyDescent="0.25">
      <c r="A1004" s="27"/>
    </row>
  </sheetData>
  <mergeCells count="1">
    <mergeCell ref="A1:E1"/>
  </mergeCells>
  <dataValidations count="3">
    <dataValidation type="list" allowBlank="1" sqref="J10:J38">
      <formula1>"High,Medium,Low,Urgency"</formula1>
    </dataValidation>
    <dataValidation type="list" allowBlank="1" sqref="I10:I38">
      <formula1>"Critical,High,Medium,Low"</formula1>
    </dataValidation>
    <dataValidation type="list" allowBlank="1" sqref="K10:K38">
      <formula1>"New/Open,In Progress,Fixed,Closed,Reopened"</formula1>
    </dataValidation>
  </dataValidation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2"/>
  <sheetViews>
    <sheetView showGridLines="0" workbookViewId="0"/>
  </sheetViews>
  <sheetFormatPr defaultColWidth="14.42578125" defaultRowHeight="15" customHeight="1" x14ac:dyDescent="0.25"/>
  <cols>
    <col min="1" max="1" width="28" customWidth="1"/>
    <col min="2" max="2" width="18.42578125" customWidth="1"/>
    <col min="3" max="3" width="22.5703125" customWidth="1"/>
    <col min="4" max="24" width="8.7109375" customWidth="1"/>
  </cols>
  <sheetData>
    <row r="1" spans="1:2" ht="25.5" customHeight="1" x14ac:dyDescent="0.25">
      <c r="A1" s="36" t="s">
        <v>0</v>
      </c>
      <c r="B1" s="31"/>
    </row>
    <row r="3" spans="1:2" ht="30" customHeight="1" x14ac:dyDescent="0.25">
      <c r="A3" s="2" t="s">
        <v>3</v>
      </c>
      <c r="B3" s="2" t="s">
        <v>5</v>
      </c>
    </row>
    <row r="4" spans="1:2" ht="30.75" customHeight="1" x14ac:dyDescent="0.25">
      <c r="A4" s="5" t="s">
        <v>7</v>
      </c>
      <c r="B4" s="11">
        <f>COUNTIF('Bug Report'!$I$10:$I$19,A4)</f>
        <v>2</v>
      </c>
    </row>
    <row r="5" spans="1:2" ht="18" customHeight="1" x14ac:dyDescent="0.25">
      <c r="A5" s="5" t="s">
        <v>27</v>
      </c>
      <c r="B5" s="11">
        <f>COUNTIF('Bug Report'!$I$10:$I$19,A5)</f>
        <v>3</v>
      </c>
    </row>
    <row r="6" spans="1:2" ht="18" customHeight="1" x14ac:dyDescent="0.25">
      <c r="A6" s="5" t="s">
        <v>36</v>
      </c>
      <c r="B6" s="11">
        <f>COUNTIF('Bug Report'!$I$10:$I$19,A6)</f>
        <v>4</v>
      </c>
    </row>
    <row r="7" spans="1:2" ht="18" customHeight="1" x14ac:dyDescent="0.25">
      <c r="A7" s="5" t="s">
        <v>39</v>
      </c>
      <c r="B7" s="11">
        <f>COUNTIF('Bug Report'!$I$10:$I$19,A7)</f>
        <v>1</v>
      </c>
    </row>
    <row r="8" spans="1:2" ht="18" customHeight="1" x14ac:dyDescent="0.25">
      <c r="A8" s="7" t="s">
        <v>47</v>
      </c>
      <c r="B8" s="17">
        <f>SUM(B4:B7)</f>
        <v>10</v>
      </c>
    </row>
    <row r="10" spans="1:2" ht="30" customHeight="1" x14ac:dyDescent="0.25">
      <c r="A10" s="2" t="s">
        <v>51</v>
      </c>
      <c r="B10" s="2" t="s">
        <v>5</v>
      </c>
    </row>
    <row r="11" spans="1:2" ht="18" customHeight="1" x14ac:dyDescent="0.25">
      <c r="A11" s="8" t="s">
        <v>44</v>
      </c>
      <c r="B11" s="18">
        <v>0</v>
      </c>
    </row>
    <row r="12" spans="1:2" ht="18" customHeight="1" x14ac:dyDescent="0.25">
      <c r="A12" s="5" t="s">
        <v>27</v>
      </c>
      <c r="B12" s="11">
        <f>COUNTIF('Bug Report'!$J$10:$J$19,A12)</f>
        <v>5</v>
      </c>
    </row>
    <row r="13" spans="1:2" ht="18" customHeight="1" x14ac:dyDescent="0.25">
      <c r="A13" s="5" t="s">
        <v>36</v>
      </c>
      <c r="B13" s="11">
        <f>COUNTIF('Bug Report'!$J$10:$J$19,A13)</f>
        <v>3</v>
      </c>
    </row>
    <row r="14" spans="1:2" ht="18" customHeight="1" x14ac:dyDescent="0.25">
      <c r="A14" s="5" t="s">
        <v>39</v>
      </c>
      <c r="B14" s="11">
        <f>COUNTIF('Bug Report'!$J$10:$J$19,A14)</f>
        <v>2</v>
      </c>
    </row>
    <row r="15" spans="1:2" ht="18" customHeight="1" x14ac:dyDescent="0.25">
      <c r="A15" s="7" t="s">
        <v>47</v>
      </c>
      <c r="B15" s="17">
        <f>SUM(B12:B14)</f>
        <v>10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</sheetData>
  <mergeCells count="1">
    <mergeCell ref="A1:B1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 Info</vt:lpstr>
      <vt:lpstr>Bug Report</vt:lpstr>
      <vt:lpstr>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2026-10-21T22:26:35Z</dcterms:created>
  <dcterms:modified xsi:type="dcterms:W3CDTF">2026-10-22T14:45:33Z</dcterms:modified>
</cp:coreProperties>
</file>